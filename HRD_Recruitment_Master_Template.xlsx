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q_webapp_modern\"/>
    </mc:Choice>
  </mc:AlternateContent>
  <xr:revisionPtr revIDLastSave="0" documentId="13_ncr:1_{FD55F57F-1ADB-415E-82CF-14C2C0D3EDF1}" xr6:coauthVersionLast="47" xr6:coauthVersionMax="47" xr10:uidLastSave="{00000000-0000-0000-0000-000000000000}"/>
  <bookViews>
    <workbookView xWindow="-120" yWindow="-120" windowWidth="29040" windowHeight="15720" activeTab="2" xr2:uid="{4A450FB1-A7E4-48CE-95E5-C176D621D711}"/>
  </bookViews>
  <sheets>
    <sheet name="NO_TOKEN" sheetId="3" r:id="rId1"/>
    <sheet name="IQ" sheetId="4" r:id="rId2"/>
    <sheet name="PAULI_KRAEPLIN" sheetId="5" r:id="rId3"/>
    <sheet name="TYPING_TEST" sheetId="6" r:id="rId4"/>
    <sheet name="DISC" sheetId="7" r:id="rId5"/>
    <sheet name="WORKING_STYLE" sheetId="8" r:id="rId6"/>
    <sheet name="MASTER_REPORT" sheetId="9" r:id="rId7"/>
  </sheets>
  <definedNames>
    <definedName name="_xlnm._FilterDatabase" localSheetId="4" hidden="1">DISC!$A$1:$G$1</definedName>
    <definedName name="_xlnm._FilterDatabase" localSheetId="1" hidden="1">IQ!$A$1:$M$1</definedName>
    <definedName name="_xlnm._FilterDatabase" localSheetId="6" hidden="1">MASTER_REPORT!$A$1:$N$1</definedName>
    <definedName name="_xlnm._FilterDatabase" localSheetId="0" hidden="1">NO_TOKEN!$A$1:$H$1</definedName>
    <definedName name="_xlnm._FilterDatabase" localSheetId="2" hidden="1">PAULI_KRAEPLIN!$A$1:$L$1</definedName>
    <definedName name="_xlnm._FilterDatabase" localSheetId="3" hidden="1">TYPING_TEST!$A$1:$J$1</definedName>
    <definedName name="_xlnm._FilterDatabase" localSheetId="5" hidden="1">WORKING_STYLE!$A$1:$G$1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9" l="1"/>
  <c r="N2" i="9" s="1"/>
  <c r="G2" i="8"/>
  <c r="F2" i="8"/>
  <c r="G2" i="7"/>
  <c r="F2" i="7"/>
  <c r="J2" i="6"/>
  <c r="I2" i="6"/>
  <c r="H2" i="6"/>
  <c r="G2" i="6"/>
  <c r="D2" i="6"/>
  <c r="L2" i="5"/>
  <c r="K2" i="5"/>
  <c r="I2" i="5"/>
  <c r="H2" i="5"/>
  <c r="G2" i="5"/>
  <c r="D2" i="5"/>
  <c r="J2" i="4"/>
  <c r="I2" i="4"/>
  <c r="H2" i="4"/>
  <c r="G2" i="4"/>
  <c r="D2" i="4"/>
  <c r="E2" i="9" l="1"/>
  <c r="G2" i="9"/>
  <c r="H2" i="9"/>
  <c r="I2" i="9"/>
  <c r="B2" i="9"/>
  <c r="J2" i="9"/>
  <c r="C2" i="9"/>
  <c r="K2" i="9"/>
  <c r="D2" i="9"/>
  <c r="L2" i="9"/>
  <c r="M2" i="9"/>
  <c r="F2" i="9"/>
</calcChain>
</file>

<file path=xl/sharedStrings.xml><?xml version="1.0" encoding="utf-8"?>
<sst xmlns="http://schemas.openxmlformats.org/spreadsheetml/2006/main" count="71" uniqueCount="47">
  <si>
    <t>token</t>
  </si>
  <si>
    <t>name</t>
  </si>
  <si>
    <t>phone</t>
  </si>
  <si>
    <t>email</t>
  </si>
  <si>
    <t>position</t>
  </si>
  <si>
    <t>source</t>
  </si>
  <si>
    <t>createdAt</t>
  </si>
  <si>
    <t>status</t>
  </si>
  <si>
    <t>startedAt</t>
  </si>
  <si>
    <t>endedAt</t>
  </si>
  <si>
    <t>durationSec</t>
  </si>
  <si>
    <t>correct</t>
  </si>
  <si>
    <t>total</t>
  </si>
  <si>
    <t>percent</t>
  </si>
  <si>
    <t>iqEstimate</t>
  </si>
  <si>
    <t>iqCategory</t>
  </si>
  <si>
    <t>scoreBand</t>
  </si>
  <si>
    <t>answered</t>
  </si>
  <si>
    <t>unanswered</t>
  </si>
  <si>
    <t>flagged</t>
  </si>
  <si>
    <t>totalAttempt</t>
  </si>
  <si>
    <t>wrong</t>
  </si>
  <si>
    <t>accuracyPct</t>
  </si>
  <si>
    <t>speedPerMin</t>
  </si>
  <si>
    <t>consistencyPct</t>
  </si>
  <si>
    <t>pauliScore</t>
  </si>
  <si>
    <t>pauliCategory</t>
  </si>
  <si>
    <t>wordsTyped</t>
  </si>
  <si>
    <t>errors</t>
  </si>
  <si>
    <t>grossWPM</t>
  </si>
  <si>
    <t>netWPM</t>
  </si>
  <si>
    <t>typingCategory</t>
  </si>
  <si>
    <t>D_score</t>
  </si>
  <si>
    <t>I_score</t>
  </si>
  <si>
    <t>S_score</t>
  </si>
  <si>
    <t>C_score</t>
  </si>
  <si>
    <t>discType</t>
  </si>
  <si>
    <t>discSummary</t>
  </si>
  <si>
    <t>analytical</t>
  </si>
  <si>
    <t>structured</t>
  </si>
  <si>
    <t>collaborative</t>
  </si>
  <si>
    <t>adaptive</t>
  </si>
  <si>
    <t>dominantStyle</t>
  </si>
  <si>
    <t>styleSummary</t>
  </si>
  <si>
    <t>workingStyle</t>
  </si>
  <si>
    <t>finalScore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</si>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</sst>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39AC-05EB-4399-9E19-BFE2CE11BA95}">
  <dimension ref="A1:H1"/>
  <sheetViews>
    <sheetView workbookViewId="0">
      <pane ySplit="1" topLeftCell="A2" activePane="bottomLeft" state="frozenSplit"/>
      <selection pane="bottomLeft" activeCell="C23" sqref="C23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3" width="11.28515625" bestFit="1" customWidth="1"/>
    <col min="4" max="4" width="10.5703125" bestFit="1" customWidth="1"/>
    <col min="5" max="5" width="12.85546875" bestFit="1" customWidth="1"/>
    <col min="6" max="6" width="11.42578125" bestFit="1" customWidth="1"/>
    <col min="7" max="7" width="14.28515625" bestFit="1" customWidth="1"/>
    <col min="8" max="8" width="10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 xr:uid="{CDF839AC-05EB-4399-9E19-BFE2CE11BA9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7886-346F-4865-A889-BB9D21689EAE}">
  <dimension ref="A1:M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3.28515625" bestFit="1" customWidth="1"/>
    <col min="4" max="4" width="16.140625" bestFit="1" customWidth="1"/>
    <col min="5" max="5" width="11.7109375" bestFit="1" customWidth="1"/>
    <col min="6" max="6" width="9.7109375" bestFit="1" customWidth="1"/>
    <col min="7" max="7" width="12.42578125" bestFit="1" customWidth="1"/>
    <col min="8" max="8" width="15" bestFit="1" customWidth="1"/>
    <col min="9" max="9" width="15.140625" bestFit="1" customWidth="1"/>
    <col min="10" max="10" width="14.7109375" bestFit="1" customWidth="1"/>
    <col min="11" max="11" width="14.28515625" bestFit="1" customWidth="1"/>
    <col min="12" max="12" width="16.5703125" bestFit="1" customWidth="1"/>
    <col min="13" max="13" width="12.140625" bestFit="1" customWidth="1"/>
  </cols>
  <sheetData>
    <row r="1" spans="1:13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 x14ac:dyDescent="0.25">
      <c r="D2" t="str">
        <f>IF(OR(B2="",C2=""),"",ROUND((C2-B2)*86400,0))</f>
        <v/>
      </c>
      <c r="G2" t="str">
        <f>IF(OR(E2="",F2=""),"",ROUND(E2/F2*100,1))</f>
        <v/>
      </c>
      <c r="H2" t="str">
        <f>IF(G2="","",ROUND(70+(G2*0.6),0))</f>
        <v/>
      </c>
      <c r="I2" t="str">
        <f>IF(H2="","",_xlfn.IFS(H2&gt;=120,"Very High",H2&gt;=110,"High",H2&gt;=90,"Average",H2&gt;=80,"Below Average",TRUE,"Low"))</f>
        <v/>
      </c>
      <c r="J2" t="str">
        <f>IF(G2="","",_xlfn.IFS(G2&gt;=85,"A",G2&gt;=70,"B",G2&gt;=55,"C",TRUE,"D"))</f>
        <v/>
      </c>
    </row>
  </sheetData>
  <autoFilter ref="A1:M1" xr:uid="{6FB87886-346F-4865-A889-BB9D21689E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DA62-4E3F-4698-85CD-117EB8483ACF}">
  <dimension ref="A1:L2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3.28515625" bestFit="1" customWidth="1"/>
    <col min="4" max="4" width="16.140625" bestFit="1" customWidth="1"/>
    <col min="5" max="5" width="17.140625" bestFit="1" customWidth="1"/>
    <col min="6" max="6" width="11.7109375" bestFit="1" customWidth="1"/>
    <col min="7" max="7" width="11.140625" bestFit="1" customWidth="1"/>
    <col min="8" max="8" width="15.7109375" bestFit="1" customWidth="1"/>
    <col min="9" max="9" width="17.7109375" bestFit="1" customWidth="1"/>
    <col min="10" max="10" width="18.7109375" bestFit="1" customWidth="1"/>
    <col min="11" max="11" width="14.85546875" bestFit="1" customWidth="1"/>
    <col min="12" max="12" width="18" bestFit="1" customWidth="1"/>
  </cols>
  <sheetData>
    <row r="1" spans="1:12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20</v>
      </c>
      <c r="F1" s="1" t="s">
        <v>11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x14ac:dyDescent="0.25">
      <c r="D2" t="str">
        <f>IF(OR(B2="",C2=""),"",ROUND((C2-B2)*86400,0))</f>
        <v/>
      </c>
      <c r="G2" t="str">
        <f>IF(OR(E2="",F2=""),"",E2-F2)</f>
        <v/>
      </c>
      <c r="H2" t="str">
        <f>IF(E2="","",ROUND(F2/E2*100,1))</f>
        <v/>
      </c>
      <c r="I2" t="str">
        <f>IF(OR(D2="",E2=""),"",ROUND(E2/(D2/60),1))</f>
        <v/>
      </c>
      <c r="K2" t="str">
        <f>IF(OR(H2="",I2=""),"",ROUND((H2*0.6)+(MIN(I2,60)/60*100*0.4),1))</f>
        <v/>
      </c>
      <c r="L2" t="str">
        <f>IF(K2="","",_xlfn.IFS(K2&gt;=85,"Excellent",K2&gt;=70,"Good",K2&gt;=55,"Average",TRUE,"Needs Improvement"))</f>
        <v/>
      </c>
    </row>
  </sheetData>
  <autoFilter ref="A1:L1" xr:uid="{ABBFDA62-4E3F-4698-85CD-117EB8483AC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6B61-B736-4384-850C-EE742BE49D98}">
  <dimension ref="A1:J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3.28515625" bestFit="1" customWidth="1"/>
    <col min="4" max="4" width="16.140625" bestFit="1" customWidth="1"/>
    <col min="5" max="5" width="16.42578125" bestFit="1" customWidth="1"/>
    <col min="6" max="6" width="10.85546875" bestFit="1" customWidth="1"/>
    <col min="7" max="7" width="15.140625" bestFit="1" customWidth="1"/>
    <col min="8" max="8" width="13.5703125" bestFit="1" customWidth="1"/>
    <col min="9" max="9" width="15.7109375" bestFit="1" customWidth="1"/>
    <col min="10" max="10" width="19.140625" bestFit="1" customWidth="1"/>
  </cols>
  <sheetData>
    <row r="1" spans="1:10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22</v>
      </c>
      <c r="J1" s="1" t="s">
        <v>31</v>
      </c>
    </row>
    <row r="2" spans="1:10" x14ac:dyDescent="0.25">
      <c r="D2" t="str">
        <f>IF(OR(B2="",C2=""),"",ROUND((C2-B2)*86400,0))</f>
        <v/>
      </c>
      <c r="G2" t="str">
        <f>IF(OR(D2="",E2=""),"",ROUND(E2/(D2/60),1))</f>
        <v/>
      </c>
      <c r="H2" t="str">
        <f>IF(OR(G2="",F2="",D2=""),"",ROUND(MAX(G2-(F2/(D2/60)),0),1))</f>
        <v/>
      </c>
      <c r="I2" t="str">
        <f>IF(OR(G2="",H2=""),"",ROUND(IF(G2=0,0,H2/G2*100),1))</f>
        <v/>
      </c>
      <c r="J2" t="str">
        <f>IF(OR(H2="",I2=""),"",_xlfn.IFS(AND(H2&gt;=50,I2&gt;=95),"Excellent",AND(H2&gt;=40,I2&gt;=92),"Good",AND(H2&gt;=30,I2&gt;=88),"Average",TRUE,"Needs Improvement"))</f>
        <v/>
      </c>
    </row>
  </sheetData>
  <autoFilter ref="A1:J1" xr:uid="{31B36B61-B736-4384-850C-EE742BE49D9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DB69-64CB-4147-B089-7A99C546F305}">
  <dimension ref="A1:G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bestFit="1" customWidth="1"/>
    <col min="2" max="2" width="12.5703125" bestFit="1" customWidth="1"/>
    <col min="3" max="3" width="11.85546875" bestFit="1" customWidth="1"/>
    <col min="4" max="4" width="12.28515625" bestFit="1" customWidth="1"/>
    <col min="5" max="5" width="12.42578125" bestFit="1" customWidth="1"/>
    <col min="6" max="6" width="13.28515625" bestFit="1" customWidth="1"/>
    <col min="7" max="7" width="17.28515625" bestFit="1" customWidth="1"/>
  </cols>
  <sheetData>
    <row r="1" spans="1:7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F2" t="str">
        <f>IF(COUNTA(B2:E2)&lt;4,"",INDEX({"D","I","S","C"},MATCH(MAX(B2:E2),B2:E2,0)))</f>
        <v/>
      </c>
      <c r="G2" t="str">
        <f>IF(F2="","",_xlfn.SWITCH(F2,"D","Direct, decisive, result-oriented","I","Persuasive, social, expressive","S","Stable, patient, supportive","C","Careful, analytical, detail-oriented"))</f>
        <v/>
      </c>
    </row>
  </sheetData>
  <autoFilter ref="A1:G1" xr:uid="{644EDB69-64CB-4147-B089-7A99C546F30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0555-7F76-4F29-95B8-BB8BBDF92A73}">
  <dimension ref="A1:G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14.7109375" bestFit="1" customWidth="1"/>
    <col min="4" max="4" width="17.140625" bestFit="1" customWidth="1"/>
    <col min="5" max="5" width="13.28515625" bestFit="1" customWidth="1"/>
    <col min="6" max="6" width="18.7109375" bestFit="1" customWidth="1"/>
    <col min="7" max="7" width="18.28515625" bestFit="1" customWidth="1"/>
  </cols>
  <sheetData>
    <row r="1" spans="1:7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25">
      <c r="F2" t="str">
        <f>IF(COUNTA(B2:E2)&lt;4,"",INDEX({"Analytical","Structured","Collaborative","Adaptive"},MATCH(MAX(B2:E2),B2:E2,0)))</f>
        <v/>
      </c>
      <c r="G2" t="str">
        <f>IF(F2="","",_xlfn.SWITCH(F2,"Analytical","Strong in logic and problem solving","Structured","Strong in planning and consistency","Collaborative","Strong in teamwork and communication","Adaptive","Strong in flexibility and speed"))</f>
        <v/>
      </c>
    </row>
  </sheetData>
  <autoFilter ref="A1:G1" xr:uid="{89240555-7F76-4F29-95B8-BB8BBDF92A7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0337-ABED-47EF-9F9B-8A7015B6F2B0}">
  <dimension ref="A1:N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3" width="11.28515625" bestFit="1" customWidth="1"/>
    <col min="4" max="4" width="12.85546875" bestFit="1" customWidth="1"/>
    <col min="5" max="5" width="15" bestFit="1" customWidth="1"/>
    <col min="6" max="6" width="15.140625" bestFit="1" customWidth="1"/>
    <col min="7" max="7" width="14.85546875" bestFit="1" customWidth="1"/>
    <col min="8" max="8" width="18" bestFit="1" customWidth="1"/>
    <col min="9" max="9" width="13.5703125" bestFit="1" customWidth="1"/>
    <col min="10" max="10" width="19.140625" bestFit="1" customWidth="1"/>
    <col min="11" max="11" width="13.28515625" bestFit="1" customWidth="1"/>
    <col min="12" max="12" width="17.140625" bestFit="1" customWidth="1"/>
    <col min="13" max="13" width="14.42578125" bestFit="1" customWidth="1"/>
    <col min="14" max="14" width="2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14</v>
      </c>
      <c r="F1" s="1" t="s">
        <v>15</v>
      </c>
      <c r="G1" s="1" t="s">
        <v>25</v>
      </c>
      <c r="H1" s="1" t="s">
        <v>26</v>
      </c>
      <c r="I1" s="1" t="s">
        <v>30</v>
      </c>
      <c r="J1" s="1" t="s">
        <v>31</v>
      </c>
      <c r="K1" s="1" t="s">
        <v>36</v>
      </c>
      <c r="L1" s="1" t="s">
        <v>44</v>
      </c>
      <c r="M1" s="1" t="s">
        <v>45</v>
      </c>
      <c r="N1" s="1" t="s">
        <v>46</v>
      </c>
    </row>
    <row r="2" spans="1:14" x14ac:dyDescent="0.25">
      <c r="A2" t="e">
        <f>_xlfn._xlws.SORT(_xlfn.UNIQUE(_xlfn._xlws.FILTER(NO_TOKEN!A2:A,NO_TOKEN!A2:A&lt;&gt;"")))</f>
        <v>#NAME?</v>
      </c>
      <c r="B2" t="e">
        <f>IF($A2="","",_xlfn.XLOOKUP($A2,NO_TOKEN!$A:$A,NO_TOKEN!$B:$B,""))</f>
        <v>#NAME?</v>
      </c>
      <c r="C2" t="e">
        <f>IF($A2="","",_xlfn.XLOOKUP($A2,NO_TOKEN!$A:$A,NO_TOKEN!$C:$C,""))</f>
        <v>#NAME?</v>
      </c>
      <c r="D2" t="e">
        <f>IF($A2="","",_xlfn.XLOOKUP($A2,NO_TOKEN!$A:$A,NO_TOKEN!$E:$E,""))</f>
        <v>#NAME?</v>
      </c>
      <c r="E2" t="e">
        <f>IF($A2="","",_xlfn.XLOOKUP($A2,IQ!$A:$A,IQ!$H:$H,""))</f>
        <v>#NAME?</v>
      </c>
      <c r="F2" t="e">
        <f>IF($A2="","",_xlfn.XLOOKUP($A2,IQ!$A:$A,IQ!$I:$I,""))</f>
        <v>#NAME?</v>
      </c>
      <c r="G2" t="e">
        <f>IF($A2="","",_xlfn.XLOOKUP($A2,PAULI_KRAEPLIN!$A:$A,PAULI_KRAEPLIN!$K:$K,""))</f>
        <v>#NAME?</v>
      </c>
      <c r="H2" t="e">
        <f>IF($A2="","",_xlfn.XLOOKUP($A2,PAULI_KRAEPLIN!$A:$A,PAULI_KRAEPLIN!$L:$L,""))</f>
        <v>#NAME?</v>
      </c>
      <c r="I2" t="e">
        <f>IF($A2="","",_xlfn.XLOOKUP($A2,TYPING_TEST!$A:$A,TYPING_TEST!$H:$H,""))</f>
        <v>#NAME?</v>
      </c>
      <c r="J2" t="e">
        <f>IF($A2="","",_xlfn.XLOOKUP($A2,TYPING_TEST!$A:$A,TYPING_TEST!$J:$J,""))</f>
        <v>#NAME?</v>
      </c>
      <c r="K2" t="e">
        <f>IF($A2="","",_xlfn.XLOOKUP($A2,DISC!$A:$A,DISC!$F:$F,""))</f>
        <v>#NAME?</v>
      </c>
      <c r="L2" t="e">
        <f>IF($A2="","",_xlfn.XLOOKUP($A2,WORKING_STYLE!$A:$A,WORKING_STYLE!$F:$F,""))</f>
        <v>#NAME?</v>
      </c>
      <c r="M2" t="e">
        <f>IF($A2="","",ROUND((IFERROR(E2,0)*0.35)+(IFERROR(G2,0)*0.35)+(IFERROR(I2,0)*0.3),1))</f>
        <v>#NAME?</v>
      </c>
      <c r="N2" t="e">
        <f>IF($A2="","",_xlfn.IFS(M2&gt;=85,"Strong Hire",M2&gt;=70,"Recommended",M2&gt;=55,"Consider",TRUE,"Not Recommended"))</f>
        <v>#NAME?</v>
      </c>
    </row>
  </sheetData>
  <autoFilter ref="A1:N1" xr:uid="{FFDC0337-ABED-47EF-9F9B-8A7015B6F2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NO_TOKEN</vt:lpstr>
      <vt:lpstr>IQ</vt:lpstr>
      <vt:lpstr>PAULI_KRAEPLIN</vt:lpstr>
      <vt:lpstr>TYPING_TEST</vt:lpstr>
      <vt:lpstr>DISC</vt:lpstr>
      <vt:lpstr>WORKING_STYLE</vt:lpstr>
      <vt:lpstr>MASTER_REPORT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2026-03-02T01:58:30Z</dcterms:created>
  <dcterms:modified xsi:type="dcterms:W3CDTF">2026-03-02T02:00:30Z</dcterms:modified>
</cp:coreProperties>
</file>